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adriankonig/Desktop/"/>
    </mc:Choice>
  </mc:AlternateContent>
  <xr:revisionPtr revIDLastSave="0" documentId="13_ncr:1_{1A2E6CFF-DB2E-8047-8DEC-43FE39D77A16}" xr6:coauthVersionLast="47" xr6:coauthVersionMax="47" xr10:uidLastSave="{00000000-0000-0000-0000-000000000000}"/>
  <bookViews>
    <workbookView xWindow="27860" yWindow="-6560" windowWidth="30860" windowHeight="16600" activeTab="2" xr2:uid="{00000000-000D-0000-FFFF-FFFF00000000}"/>
  </bookViews>
  <sheets>
    <sheet name="Rechner" sheetId="1" r:id="rId1"/>
    <sheet name="Tarif" sheetId="2" r:id="rId2"/>
    <sheet name="Koeffizienten"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7" i="1" l="1"/>
  <c r="B26" i="1"/>
  <c r="B48" i="1" l="1"/>
  <c r="B30" i="1" s="1"/>
  <c r="B47" i="1"/>
  <c r="B29" i="1" s="1"/>
  <c r="C35" i="1" l="1"/>
  <c r="B38" i="1"/>
  <c r="B35" i="1"/>
  <c r="B34" i="1"/>
  <c r="B37" i="1"/>
  <c r="C34" i="1"/>
  <c r="B32" i="1"/>
</calcChain>
</file>

<file path=xl/sharedStrings.xml><?xml version="1.0" encoding="utf-8"?>
<sst xmlns="http://schemas.openxmlformats.org/spreadsheetml/2006/main" count="135" uniqueCount="105">
  <si>
    <t>Prozesskostenrechner</t>
  </si>
  <si>
    <t>Ordentliche Verfahren vor den Handelsgerichten Zürich und Aargau — Modell 6</t>
  </si>
  <si>
    <t xml:space="preserve">   EINGABE</t>
  </si>
  <si>
    <t xml:space="preserve">  Fall</t>
  </si>
  <si>
    <t>Kanton</t>
  </si>
  <si>
    <t>Zürich</t>
  </si>
  <si>
    <t>Standort des zuständigen Handelsgerichts</t>
  </si>
  <si>
    <t>Streitwert (CHF)</t>
  </si>
  <si>
    <t>Gesamtwert aller Rechtsbegehren</t>
  </si>
  <si>
    <t>Rechtsgebiet</t>
  </si>
  <si>
    <t>Forderung Dienstleistungen</t>
  </si>
  <si>
    <t>Hauptkategorie gemäss Urteilskopf</t>
  </si>
  <si>
    <t>Kläger mit Sitz in der Schweiz</t>
  </si>
  <si>
    <t>Ja</t>
  </si>
  <si>
    <t>Sitz oder Wohnsitz in der Schweiz?</t>
  </si>
  <si>
    <t>Beklagter mit Sitz in der Schweiz</t>
  </si>
  <si>
    <t>Anzahl Kläger</t>
  </si>
  <si>
    <t>inkl. allfälliger Streitgenossen</t>
  </si>
  <si>
    <t>Anzahl Beklagte</t>
  </si>
  <si>
    <t xml:space="preserve">  Verfahrensgang (erwartete oder eingetretene Prozessschritte)</t>
  </si>
  <si>
    <t>Klagantwort eingereicht</t>
  </si>
  <si>
    <t>Hat der Beklagte eine Klagantwort eingereicht?</t>
  </si>
  <si>
    <t>Zweiter Schriftenwechsel</t>
  </si>
  <si>
    <t>Nein</t>
  </si>
  <si>
    <t>Widerklage erhoben</t>
  </si>
  <si>
    <t>Widerklage mit 2. Schriftenwechsel</t>
  </si>
  <si>
    <t>Zusätzliche Eingaben</t>
  </si>
  <si>
    <t>Vergleichsverhandlung</t>
  </si>
  <si>
    <t>Gutachten</t>
  </si>
  <si>
    <t xml:space="preserve">  Kostenverteilung</t>
  </si>
  <si>
    <t>Unterliegensquote Kläger (0–1)</t>
  </si>
  <si>
    <t>0 = Kl. obsiegt, 1 = Kl. unterliegt (beeinflusst nur PE)</t>
  </si>
  <si>
    <t xml:space="preserve">   ERGEBNISSE</t>
  </si>
  <si>
    <t>Gerichtskosten gemäss Tarif</t>
  </si>
  <si>
    <t>Gesetzlicher Ausgangswert (GebV OG ZH / GebT AG)</t>
  </si>
  <si>
    <t>Parteientschädigung gemäss Tarif</t>
  </si>
  <si>
    <t>Gesetzlicher Ausgangswert (AnwGebV ZH / AnwT AG)</t>
  </si>
  <si>
    <t>Geschätzte Gerichtskosten</t>
  </si>
  <si>
    <t>Modellschätzung basierend auf 976 Urteilen</t>
  </si>
  <si>
    <t>Geschätzte Parteientschädigung</t>
  </si>
  <si>
    <t>Modellschätzung basierend auf 898 Urteilen</t>
  </si>
  <si>
    <t>GESCHÄTZTE GESAMTKOSTEN</t>
  </si>
  <si>
    <t>Summe GK + PE (ohne eigene Anwaltskosten)</t>
  </si>
  <si>
    <t>Bandbreite: In 50% der Fälle liegen die tatsächlichen Kosten innerhalb dieses Bereichs.</t>
  </si>
  <si>
    <t>Bandbreite Gerichtskosten (±21%)</t>
  </si>
  <si>
    <t>Bandbreite Parteientschädigung (±25.8%)</t>
  </si>
  <si>
    <t>Abweichung vom Tarif — Gerichtskosten</t>
  </si>
  <si>
    <t>positiv = über Tarif, negativ = unter Tarif</t>
  </si>
  <si>
    <t>Abweichung vom Tarif — Parteientschädigung</t>
  </si>
  <si>
    <t>Grundlage: «From Tariff to Award» — Modell 6 (Year FE + Judge FE). Medianer abs. Prognosefehler: GK 21%, PE 25.8%.</t>
  </si>
  <si>
    <t>HILFSBERECHNUNGEN</t>
  </si>
  <si>
    <t>ln(GK / Grundtarif)</t>
  </si>
  <si>
    <t>ln(PE / Grundtarif)</t>
  </si>
  <si>
    <t>ZH Gerichtskosten (GebV OG ZH)</t>
  </si>
  <si>
    <t>ZH Parteientschädigung (AnwGebV ZH)</t>
  </si>
  <si>
    <t>Untergrenze</t>
  </si>
  <si>
    <t>Obergrenze</t>
  </si>
  <si>
    <t>Basisbetrag</t>
  </si>
  <si>
    <t>Satz</t>
  </si>
  <si>
    <t>AG Gerichtskosten (GebT AG)</t>
  </si>
  <si>
    <t>AG Parteientschädigung (AnwT AG)</t>
  </si>
  <si>
    <t>ZH: Basisbetrag + (Streitwert – Untergrenze) × Satz   |   AG: Basisbetrag + Streitwert × Satz</t>
  </si>
  <si>
    <t>Hinweis: Im ersten ZH-Band gilt ein Mindestbetrag von CHF 150 (GK) bzw. CHF 100 (PE).</t>
  </si>
  <si>
    <t>Modell 6 — Regressionskoeffizienten</t>
  </si>
  <si>
    <t>Variable</t>
  </si>
  <si>
    <t>Gerichtskosten</t>
  </si>
  <si>
    <t>Parteientsch.</t>
  </si>
  <si>
    <t>Intercept</t>
  </si>
  <si>
    <t>ln(Baseline)</t>
  </si>
  <si>
    <t>D_AG</t>
  </si>
  <si>
    <t>D_AG x ln(Baseline)</t>
  </si>
  <si>
    <t>ln(Kläger)</t>
  </si>
  <si>
    <t>ln(Beklagte)</t>
  </si>
  <si>
    <t>Domizil Kläger</t>
  </si>
  <si>
    <t>Domizil Beklagter</t>
  </si>
  <si>
    <t>D_Bau</t>
  </si>
  <si>
    <t>D_Handel</t>
  </si>
  <si>
    <t>D_Finanz/Versicherung</t>
  </si>
  <si>
    <t>D_Organhaftung</t>
  </si>
  <si>
    <t>D_UWG/URG</t>
  </si>
  <si>
    <t>D_Immaterialgüterrecht</t>
  </si>
  <si>
    <t>D_Gesellschaftsrecht</t>
  </si>
  <si>
    <t>D_Übrige</t>
  </si>
  <si>
    <t>Klagantwort</t>
  </si>
  <si>
    <t>Widerklage</t>
  </si>
  <si>
    <t>Widerklage 2. SW</t>
  </si>
  <si>
    <t>Unterliegensquote Kläger</t>
  </si>
  <si>
    <t>Rechtsgebiet-Zuordnung</t>
  </si>
  <si>
    <t>Forderung Bau</t>
  </si>
  <si>
    <t>Forderung Handel</t>
  </si>
  <si>
    <t>Forderung Finanz/Versicherung</t>
  </si>
  <si>
    <t>Haftung Gesellschaftsorgane</t>
  </si>
  <si>
    <t>UWG/URG</t>
  </si>
  <si>
    <t>Immaterialgüterrecht</t>
  </si>
  <si>
    <t>Gesellschaftsrecht</t>
  </si>
  <si>
    <t>Übrige</t>
  </si>
  <si>
    <t>Quelle: Modell 6, Tabelle 3.5 (Year FE + Judge FE). Medianer abs. Prognosefehler: GK 21%, PE 25.8%. Referenzkategorie: Forderung Dienstleistungen.</t>
  </si>
  <si>
    <t>Replik und Duplik (voraussichtlich) angeordnet?</t>
  </si>
  <si>
    <t>Hat/wird der Beklagte eine Widerklage erhoben/erheben?</t>
  </si>
  <si>
    <t>(Voraussichtlich) zweiter Schriftenwechsel zur Widerklage?</t>
  </si>
  <si>
    <t>(Voraussichtlich) weitere Eingaben über die Schriftenw. hinaus?</t>
  </si>
  <si>
    <t>Wird/wurde eine Vergleichsverhandlung durchgeführt?</t>
  </si>
  <si>
    <t>Wird/wurde mind. 1 ein Gutachten eingeholt?</t>
  </si>
  <si>
    <t>Bitte füllen Sie die gelb markierten Felder aus. Die Ergebnisse werden automatisch berechnet. Das Tool schätzt Gerichtskosten (vom Gericht festgesetzt) und Parteientschädigung (Anwaltskostenersatz an die obsiegende Partei) auf Basis von rund 1000 Urteilen.</t>
  </si>
  <si>
    <r>
      <rPr>
        <b/>
        <sz val="8"/>
        <color rgb="FF664D03"/>
        <rFont val="Arial"/>
        <family val="2"/>
      </rPr>
      <t>HAFTUNGSAUSSCHLUSS</t>
    </r>
    <r>
      <rPr>
        <sz val="8"/>
        <color rgb="FF664D03"/>
        <rFont val="Arial"/>
        <family val="2"/>
      </rPr>
      <t>: Dieses Tool dient ausschliesslich zu Informations- und Bildungszwecken. Die Kostenschätzungen basieren auf statistischen Regressionsmodellen und empirischen Daten gemäss der Studie «From Tariff to Award». Die Ergebnisse sind Näherungswerte und können erheblich von den tatsächlich zugesprochenen Prozesskosten abweichen.
Der Autor übernimmt keinerlei Haftung für die Richtigkeit, Vollständigkeit, Aktualität oder Zuverlässigkeit der mit diesem Tool generierten Schätzungen. Die Nutzung dieses Tools stellt keine Rechtsberatung dar. Es werden keinerlei Gewährleistungen abgegeben. Für fallspezifische Kosteneinschätzungen ist eine unabhängige fachkundige Beratung einzuholen.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</si>
</sst>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
    <numFmt numFmtId="166" formatCode="&quot;CHF &quot;#,##0"/>
    <numFmt numFmtId="167" formatCode="0.0000"/>
    <numFmt numFmtId="168" formatCode="\+0.0%;\-0.0%"/>
  </numFmts>
  <fonts count="17" x14ac:knownFonts="1">
    <font>
      <sz val="11"/>
      <color theme="1"/>
      <name val="Calibri"/>
      <family val="2"/>
      <scheme val="minor"/>
    </font>
    <font>
      <b/>
      <sz val="10"/>
      <color rgb="FFFFFFFF"/>
      <name val="Arial"/>
      <family val="2"/>
    </font>
    <font>
      <sz val="10"/>
      <color rgb="FF333333"/>
      <name val="Arial"/>
      <family val="2"/>
    </font>
    <font>
      <i/>
      <sz val="9"/>
      <color rgb="FF8B8B8B"/>
      <name val="Arial"/>
      <family val="2"/>
    </font>
    <font>
      <b/>
      <sz val="12"/>
      <color rgb="FF1B2A4A"/>
      <name val="Arial"/>
      <family val="2"/>
    </font>
    <font>
      <b/>
      <sz val="11"/>
      <color rgb="FF1B2A4A"/>
      <name val="Arial"/>
      <family val="2"/>
    </font>
    <font>
      <i/>
      <sz val="8"/>
      <color rgb="FF8B8B8B"/>
      <name val="Arial"/>
      <family val="2"/>
    </font>
    <font>
      <b/>
      <sz val="18"/>
      <color rgb="FF1B2A4A"/>
      <name val="Arial"/>
      <family val="2"/>
    </font>
    <font>
      <sz val="10"/>
      <color rgb="FF3574A7"/>
      <name val="Arial"/>
      <family val="2"/>
    </font>
    <font>
      <b/>
      <sz val="11"/>
      <color rgb="FFFFFFFF"/>
      <name val="Arial"/>
      <family val="2"/>
    </font>
    <font>
      <b/>
      <sz val="9"/>
      <color rgb="FF2C3E6B"/>
      <name val="Arial"/>
      <family val="2"/>
    </font>
    <font>
      <b/>
      <sz val="10"/>
      <color rgb="FF333333"/>
      <name val="Arial"/>
      <family val="2"/>
    </font>
    <font>
      <sz val="9"/>
      <color rgb="FFA0A0A0"/>
      <name val="Arial"/>
      <family val="2"/>
    </font>
    <font>
      <b/>
      <sz val="14"/>
      <color rgb="FF1B2A4A"/>
      <name val="Arial"/>
      <family val="2"/>
    </font>
    <font>
      <sz val="10"/>
      <color rgb="FF1B2A4A"/>
      <name val="Arial"/>
      <family val="2"/>
    </font>
    <font>
      <sz val="8"/>
      <color rgb="FF664D03"/>
      <name val="Arial"/>
      <family val="2"/>
    </font>
    <font>
      <b/>
      <sz val="8"/>
      <color rgb="FF664D03"/>
      <name val="Arial"/>
      <family val="2"/>
    </font>
  </fonts>
  <fills count="11">
    <fill>
      <patternFill patternType="none"/>
    </fill>
    <fill>
      <patternFill patternType="gray125"/>
    </fill>
    <fill>
      <patternFill patternType="solid">
        <fgColor rgb="FF2C3E6B"/>
        <bgColor rgb="FF2C3E6B"/>
      </patternFill>
    </fill>
    <fill>
      <patternFill patternType="solid">
        <fgColor rgb="FFE8ECF4"/>
        <bgColor rgb="FFE8ECF4"/>
      </patternFill>
    </fill>
    <fill>
      <patternFill patternType="solid">
        <fgColor rgb="FFE0E7F1"/>
        <bgColor rgb="FFE0E7F1"/>
      </patternFill>
    </fill>
    <fill>
      <patternFill patternType="solid">
        <fgColor rgb="FFFFF8E1"/>
        <bgColor rgb="FFFFF8E1"/>
      </patternFill>
    </fill>
    <fill>
      <patternFill patternType="solid">
        <fgColor rgb="FFEBF1EB"/>
        <bgColor rgb="FFEBF1EB"/>
      </patternFill>
    </fill>
    <fill>
      <patternFill patternType="solid">
        <fgColor rgb="FFF5F5F5"/>
        <bgColor rgb="FFF5F5F5"/>
      </patternFill>
    </fill>
    <fill>
      <patternFill patternType="solid">
        <fgColor rgb="FFC8E6C9"/>
        <bgColor rgb="FFC8E6C9"/>
      </patternFill>
    </fill>
    <fill>
      <patternFill patternType="solid">
        <fgColor rgb="FFFDF2E6"/>
        <bgColor rgb="FFFDF2E6"/>
      </patternFill>
    </fill>
    <fill>
      <patternFill patternType="solid">
        <fgColor rgb="FFFFF3CD"/>
        <bgColor rgb="FFFFF3CD"/>
      </patternFill>
    </fill>
  </fills>
  <borders count="5">
    <border>
      <left/>
      <right/>
      <top/>
      <bottom/>
      <diagonal/>
    </border>
    <border>
      <left style="thin">
        <color rgb="FFC5CED8"/>
      </left>
      <right style="thin">
        <color rgb="FFC5CED8"/>
      </right>
      <top style="thin">
        <color rgb="FFC5CED8"/>
      </top>
      <bottom style="thin">
        <color rgb="FFC5CED8"/>
      </bottom>
      <diagonal/>
    </border>
    <border>
      <left style="thin">
        <color rgb="FFD4A843"/>
      </left>
      <right style="thin">
        <color rgb="FFD4A843"/>
      </right>
      <top style="thin">
        <color rgb="FFD4A843"/>
      </top>
      <bottom style="thin">
        <color rgb="FFD4A843"/>
      </bottom>
      <diagonal/>
    </border>
    <border>
      <left style="thin">
        <color rgb="FFE8C58A"/>
      </left>
      <right style="thin">
        <color rgb="FFE8C58A"/>
      </right>
      <top style="thin">
        <color rgb="FFE8C58A"/>
      </top>
      <bottom style="thin">
        <color rgb="FFE8C58A"/>
      </bottom>
      <diagonal/>
    </border>
    <border>
      <left style="thin">
        <color rgb="FFC9A825"/>
      </left>
      <right style="thin">
        <color rgb="FFC9A825"/>
      </right>
      <top style="thin">
        <color rgb="FFC9A825"/>
      </top>
      <bottom style="thin">
        <color rgb="FFC9A825"/>
      </bottom>
      <diagonal/>
    </border>
  </borders>
  <cellStyleXfs count="1">
    <xf numFmtId="0" fontId="0" fillId="0" borderId="0"/>
  </cellStyleXfs>
  <cellXfs count="43">
    <xf numFmtId="0" fontId="0" fillId="0" borderId="0" xfId="0"/>
    <xf numFmtId="0" fontId="10" fillId="4" borderId="0" xfId="0" applyFont="1" applyFill="1" applyAlignment="1">
      <alignment horizontal="left" vertical="center"/>
    </xf>
    <xf numFmtId="0" fontId="0" fillId="4" borderId="0" xfId="0" applyFill="1"/>
    <xf numFmtId="0" fontId="2" fillId="0" borderId="0" xfId="0" applyFont="1" applyAlignment="1">
      <alignment horizontal="left" vertical="center" indent="1"/>
    </xf>
    <xf numFmtId="0" fontId="11" fillId="5" borderId="2" xfId="0" applyFont="1" applyFill="1" applyBorder="1" applyAlignment="1">
      <alignment horizontal="center" vertical="center"/>
    </xf>
    <xf numFmtId="0" fontId="3" fillId="0" borderId="0" xfId="0" applyFont="1"/>
    <xf numFmtId="166" fontId="11" fillId="5" borderId="2" xfId="0" applyNumberFormat="1" applyFont="1" applyFill="1" applyBorder="1" applyAlignment="1">
      <alignment horizontal="center" vertical="center"/>
    </xf>
    <xf numFmtId="2" fontId="11" fillId="5" borderId="2" xfId="0" applyNumberFormat="1" applyFont="1" applyFill="1" applyBorder="1" applyAlignment="1">
      <alignment horizontal="center" vertical="center"/>
    </xf>
    <xf numFmtId="0" fontId="11" fillId="6" borderId="1" xfId="0" applyFont="1" applyFill="1" applyBorder="1" applyAlignment="1">
      <alignment horizontal="left" vertical="center"/>
    </xf>
    <xf numFmtId="166" fontId="5" fillId="6" borderId="1" xfId="0" applyNumberFormat="1" applyFont="1" applyFill="1" applyBorder="1" applyAlignment="1">
      <alignment horizontal="right" vertical="center"/>
    </xf>
    <xf numFmtId="0" fontId="3" fillId="6" borderId="1" xfId="0" applyFont="1" applyFill="1" applyBorder="1"/>
    <xf numFmtId="0" fontId="4" fillId="8" borderId="1" xfId="0" applyFont="1" applyFill="1" applyBorder="1" applyAlignment="1">
      <alignment horizontal="left" vertical="center"/>
    </xf>
    <xf numFmtId="166" fontId="13" fillId="8" borderId="1" xfId="0" applyNumberFormat="1" applyFont="1" applyFill="1" applyBorder="1" applyAlignment="1">
      <alignment horizontal="right" vertical="center"/>
    </xf>
    <xf numFmtId="0" fontId="3" fillId="8" borderId="1" xfId="0" applyFont="1" applyFill="1" applyBorder="1"/>
    <xf numFmtId="0" fontId="2" fillId="9" borderId="3" xfId="0" applyFont="1" applyFill="1" applyBorder="1" applyAlignment="1">
      <alignment horizontal="left" vertical="center"/>
    </xf>
    <xf numFmtId="166" fontId="14" fillId="9" borderId="3" xfId="0" applyNumberFormat="1" applyFont="1" applyFill="1" applyBorder="1" applyAlignment="1">
      <alignment horizontal="right" vertical="center"/>
    </xf>
    <xf numFmtId="168" fontId="5" fillId="6" borderId="1" xfId="0" applyNumberFormat="1" applyFont="1" applyFill="1" applyBorder="1" applyAlignment="1">
      <alignment horizontal="right" vertical="center"/>
    </xf>
    <xf numFmtId="0" fontId="12" fillId="7" borderId="0" xfId="0" applyFont="1" applyFill="1"/>
    <xf numFmtId="0" fontId="0" fillId="7" borderId="0" xfId="0" applyFill="1"/>
    <xf numFmtId="0" fontId="12" fillId="7" borderId="1" xfId="0" applyFont="1" applyFill="1" applyBorder="1"/>
    <xf numFmtId="167" fontId="12" fillId="7" borderId="1" xfId="0" applyNumberFormat="1" applyFont="1" applyFill="1" applyBorder="1"/>
    <xf numFmtId="0" fontId="1" fillId="2" borderId="1" xfId="0" applyFont="1" applyFill="1" applyBorder="1" applyAlignment="1">
      <alignment horizontal="center" vertical="center"/>
    </xf>
    <xf numFmtId="3" fontId="2" fillId="0" borderId="1" xfId="0" applyNumberFormat="1" applyFont="1" applyBorder="1"/>
    <xf numFmtId="164" fontId="2" fillId="0" borderId="1" xfId="0" applyNumberFormat="1" applyFont="1" applyBorder="1"/>
    <xf numFmtId="3" fontId="2" fillId="3" borderId="1" xfId="0" applyNumberFormat="1" applyFont="1" applyFill="1" applyBorder="1"/>
    <xf numFmtId="164" fontId="2" fillId="3" borderId="1" xfId="0" applyNumberFormat="1" applyFont="1" applyFill="1" applyBorder="1"/>
    <xf numFmtId="0" fontId="2" fillId="0" borderId="1" xfId="0" applyFont="1" applyBorder="1" applyAlignment="1">
      <alignment horizontal="left" vertical="center"/>
    </xf>
    <xf numFmtId="165" fontId="2" fillId="0" borderId="1" xfId="0" applyNumberFormat="1" applyFont="1" applyBorder="1" applyAlignment="1">
      <alignment horizontal="right" vertical="center"/>
    </xf>
    <xf numFmtId="0" fontId="2" fillId="3" borderId="1" xfId="0" applyFont="1" applyFill="1" applyBorder="1" applyAlignment="1">
      <alignment horizontal="left" vertical="center"/>
    </xf>
    <xf numFmtId="165" fontId="2" fillId="3" borderId="1" xfId="0" applyNumberFormat="1" applyFont="1" applyFill="1" applyBorder="1" applyAlignment="1">
      <alignment horizontal="right" vertical="center"/>
    </xf>
    <xf numFmtId="0" fontId="9" fillId="2" borderId="0" xfId="0" applyFont="1" applyFill="1" applyAlignment="1">
      <alignment horizontal="left" vertical="center"/>
    </xf>
    <xf numFmtId="0" fontId="0" fillId="2" borderId="0" xfId="0" applyFill="1"/>
    <xf numFmtId="0" fontId="6" fillId="0" borderId="0" xfId="0" applyFont="1"/>
    <xf numFmtId="0" fontId="0" fillId="0" borderId="0" xfId="0"/>
    <xf numFmtId="0" fontId="15" fillId="10" borderId="4" xfId="0" applyFont="1" applyFill="1" applyBorder="1" applyAlignment="1">
      <alignment horizontal="left" vertical="top" wrapText="1"/>
    </xf>
    <xf numFmtId="0" fontId="0" fillId="10" borderId="4" xfId="0" applyFill="1" applyBorder="1"/>
    <xf numFmtId="0" fontId="8" fillId="0" borderId="0" xfId="0" applyFont="1"/>
    <xf numFmtId="0" fontId="3" fillId="0" borderId="0" xfId="0" applyFont="1" applyAlignment="1">
      <alignment horizontal="left" vertical="top" wrapText="1"/>
    </xf>
    <xf numFmtId="0" fontId="7" fillId="0" borderId="0" xfId="0" applyFont="1"/>
    <xf numFmtId="0" fontId="1" fillId="2" borderId="0" xfId="0" applyFont="1" applyFill="1" applyAlignment="1">
      <alignment horizontal="center" vertical="center"/>
    </xf>
    <xf numFmtId="0" fontId="3" fillId="0" borderId="0" xfId="0" applyFont="1"/>
    <xf numFmtId="0" fontId="4" fillId="0" borderId="0" xfId="0" applyFont="1"/>
    <xf numFmtId="0" fontId="5"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F8F00"/>
  </sheetPr>
  <dimension ref="A1:C48"/>
  <sheetViews>
    <sheetView showGridLines="0" topLeftCell="A25" workbookViewId="0">
      <selection activeCell="I40" sqref="I40"/>
    </sheetView>
  </sheetViews>
  <sheetFormatPr baseColWidth="10" defaultColWidth="8.83203125" defaultRowHeight="15" x14ac:dyDescent="0.2"/>
  <cols>
    <col min="1" max="1" width="42" customWidth="1"/>
    <col min="2" max="2" width="24" customWidth="1"/>
    <col min="3" max="3" width="36" customWidth="1"/>
  </cols>
  <sheetData>
    <row r="1" spans="1:3" ht="8" customHeight="1" x14ac:dyDescent="0.2"/>
    <row r="2" spans="1:3" ht="30" customHeight="1" x14ac:dyDescent="0.25">
      <c r="A2" s="38" t="s">
        <v>0</v>
      </c>
      <c r="B2" s="33"/>
      <c r="C2" s="33"/>
    </row>
    <row r="3" spans="1:3" ht="18" customHeight="1" x14ac:dyDescent="0.2">
      <c r="A3" s="36" t="s">
        <v>1</v>
      </c>
      <c r="B3" s="33"/>
      <c r="C3" s="33"/>
    </row>
    <row r="4" spans="1:3" ht="36" customHeight="1" x14ac:dyDescent="0.2">
      <c r="A4" s="37" t="s">
        <v>103</v>
      </c>
      <c r="B4" s="33"/>
      <c r="C4" s="33"/>
    </row>
    <row r="5" spans="1:3" ht="26" customHeight="1" x14ac:dyDescent="0.2">
      <c r="A5" s="30" t="s">
        <v>2</v>
      </c>
      <c r="B5" s="31"/>
      <c r="C5" s="31"/>
    </row>
    <row r="6" spans="1:3" ht="18" customHeight="1" x14ac:dyDescent="0.2">
      <c r="A6" s="1" t="s">
        <v>3</v>
      </c>
      <c r="B6" s="2"/>
      <c r="C6" s="2"/>
    </row>
    <row r="7" spans="1:3" ht="24" customHeight="1" x14ac:dyDescent="0.2">
      <c r="A7" s="3" t="s">
        <v>4</v>
      </c>
      <c r="B7" s="4" t="s">
        <v>5</v>
      </c>
      <c r="C7" s="5" t="s">
        <v>6</v>
      </c>
    </row>
    <row r="8" spans="1:3" ht="24" customHeight="1" x14ac:dyDescent="0.2">
      <c r="A8" s="3" t="s">
        <v>7</v>
      </c>
      <c r="B8" s="6">
        <v>500000</v>
      </c>
      <c r="C8" s="5" t="s">
        <v>8</v>
      </c>
    </row>
    <row r="9" spans="1:3" ht="24" customHeight="1" x14ac:dyDescent="0.2">
      <c r="A9" s="3" t="s">
        <v>9</v>
      </c>
      <c r="B9" s="4" t="s">
        <v>10</v>
      </c>
      <c r="C9" s="5" t="s">
        <v>11</v>
      </c>
    </row>
    <row r="10" spans="1:3" ht="24" customHeight="1" x14ac:dyDescent="0.2">
      <c r="A10" s="3" t="s">
        <v>12</v>
      </c>
      <c r="B10" s="4" t="s">
        <v>13</v>
      </c>
      <c r="C10" s="5" t="s">
        <v>14</v>
      </c>
    </row>
    <row r="11" spans="1:3" ht="24" customHeight="1" x14ac:dyDescent="0.2">
      <c r="A11" s="3" t="s">
        <v>15</v>
      </c>
      <c r="B11" s="4" t="s">
        <v>13</v>
      </c>
      <c r="C11" s="5" t="s">
        <v>14</v>
      </c>
    </row>
    <row r="12" spans="1:3" ht="24" customHeight="1" x14ac:dyDescent="0.2">
      <c r="A12" s="3" t="s">
        <v>16</v>
      </c>
      <c r="B12" s="4">
        <v>1</v>
      </c>
      <c r="C12" s="5" t="s">
        <v>17</v>
      </c>
    </row>
    <row r="13" spans="1:3" ht="24" customHeight="1" x14ac:dyDescent="0.2">
      <c r="A13" s="3" t="s">
        <v>18</v>
      </c>
      <c r="B13" s="4">
        <v>1</v>
      </c>
      <c r="C13" s="5" t="s">
        <v>17</v>
      </c>
    </row>
    <row r="14" spans="1:3" ht="18" customHeight="1" x14ac:dyDescent="0.2">
      <c r="A14" s="1" t="s">
        <v>19</v>
      </c>
      <c r="B14" s="2"/>
      <c r="C14" s="2"/>
    </row>
    <row r="15" spans="1:3" ht="24" customHeight="1" x14ac:dyDescent="0.2">
      <c r="A15" s="3" t="s">
        <v>20</v>
      </c>
      <c r="B15" s="4" t="s">
        <v>13</v>
      </c>
      <c r="C15" s="5" t="s">
        <v>21</v>
      </c>
    </row>
    <row r="16" spans="1:3" ht="24" customHeight="1" x14ac:dyDescent="0.2">
      <c r="A16" s="3" t="s">
        <v>22</v>
      </c>
      <c r="B16" s="4" t="s">
        <v>23</v>
      </c>
      <c r="C16" s="5" t="s">
        <v>97</v>
      </c>
    </row>
    <row r="17" spans="1:3" ht="24" customHeight="1" x14ac:dyDescent="0.2">
      <c r="A17" s="3" t="s">
        <v>24</v>
      </c>
      <c r="B17" s="4" t="s">
        <v>23</v>
      </c>
      <c r="C17" s="5" t="s">
        <v>98</v>
      </c>
    </row>
    <row r="18" spans="1:3" ht="24" customHeight="1" x14ac:dyDescent="0.2">
      <c r="A18" s="3" t="s">
        <v>25</v>
      </c>
      <c r="B18" s="4" t="s">
        <v>23</v>
      </c>
      <c r="C18" s="5" t="s">
        <v>99</v>
      </c>
    </row>
    <row r="19" spans="1:3" ht="24" customHeight="1" x14ac:dyDescent="0.2">
      <c r="A19" s="3" t="s">
        <v>26</v>
      </c>
      <c r="B19" s="4" t="s">
        <v>23</v>
      </c>
      <c r="C19" s="5" t="s">
        <v>100</v>
      </c>
    </row>
    <row r="20" spans="1:3" ht="24" customHeight="1" x14ac:dyDescent="0.2">
      <c r="A20" s="3" t="s">
        <v>27</v>
      </c>
      <c r="B20" s="4" t="s">
        <v>23</v>
      </c>
      <c r="C20" s="5" t="s">
        <v>101</v>
      </c>
    </row>
    <row r="21" spans="1:3" ht="24" customHeight="1" x14ac:dyDescent="0.2">
      <c r="A21" s="3" t="s">
        <v>28</v>
      </c>
      <c r="B21" s="4" t="s">
        <v>23</v>
      </c>
      <c r="C21" s="5" t="s">
        <v>102</v>
      </c>
    </row>
    <row r="22" spans="1:3" ht="18" customHeight="1" x14ac:dyDescent="0.2">
      <c r="A22" s="1" t="s">
        <v>29</v>
      </c>
      <c r="B22" s="2"/>
      <c r="C22" s="2"/>
    </row>
    <row r="23" spans="1:3" ht="24" customHeight="1" x14ac:dyDescent="0.2">
      <c r="A23" s="3" t="s">
        <v>30</v>
      </c>
      <c r="B23" s="7">
        <v>0.5</v>
      </c>
      <c r="C23" s="5" t="s">
        <v>31</v>
      </c>
    </row>
    <row r="24" spans="1:3" ht="10" customHeight="1" x14ac:dyDescent="0.2"/>
    <row r="25" spans="1:3" ht="26" customHeight="1" x14ac:dyDescent="0.2">
      <c r="A25" s="30" t="s">
        <v>32</v>
      </c>
      <c r="B25" s="31"/>
      <c r="C25" s="31"/>
    </row>
    <row r="26" spans="1:3" ht="24" customHeight="1" x14ac:dyDescent="0.2">
      <c r="A26" s="8" t="s">
        <v>33</v>
      </c>
      <c r="B26" s="9">
        <f>IF(B7="Zürich",MAX(150,INDEX(Tarif!C$3:C$10,MATCH(B8,Tarif!A$3:A$10,1))+(B8-INDEX(Tarif!A$3:A$10,MATCH(B8,Tarif!A$3:A$10,1)))*INDEX(Tarif!D$3:D$10,MATCH(B8,Tarif!A$3:A$10,1))),INDEX(Tarif!C$19:C$28,MATCH(B8,Tarif!A$19:A$28,1))+B8*INDEX(Tarif!D$19:D$28,MATCH(B8,Tarif!A$19:A$28,1)))</f>
        <v>20750</v>
      </c>
      <c r="C26" s="10" t="s">
        <v>34</v>
      </c>
    </row>
    <row r="27" spans="1:3" ht="24" customHeight="1" x14ac:dyDescent="0.2">
      <c r="A27" s="8" t="s">
        <v>35</v>
      </c>
      <c r="B27" s="9">
        <f>IF(B7="Zürich",MAX(100,INDEX(Tarif!H$3:H$14,MATCH(B8,Tarif!F$3:F$14,1))+(B8-INDEX(Tarif!F$3:F$14,MATCH(B8,Tarif!F$3:F$14,1)))*INDEX(Tarif!I$3:I$14,MATCH(B8,Tarif!F$3:F$14,1))),INDEX(Tarif!H$19:H$30,MATCH(B8,Tarif!F$19:F$30,1))+B8*INDEX(Tarif!I$19:I$30,MATCH(B8,Tarif!F$19:F$30,1)))</f>
        <v>23400</v>
      </c>
      <c r="C27" s="10" t="s">
        <v>36</v>
      </c>
    </row>
    <row r="28" spans="1:3" ht="6" customHeight="1" x14ac:dyDescent="0.2"/>
    <row r="29" spans="1:3" ht="24" customHeight="1" x14ac:dyDescent="0.2">
      <c r="A29" s="8" t="s">
        <v>37</v>
      </c>
      <c r="B29" s="9">
        <f>B26*EXP(B47)</f>
        <v>13506.523315990233</v>
      </c>
      <c r="C29" s="10" t="s">
        <v>38</v>
      </c>
    </row>
    <row r="30" spans="1:3" ht="24" customHeight="1" x14ac:dyDescent="0.2">
      <c r="A30" s="8" t="s">
        <v>39</v>
      </c>
      <c r="B30" s="9">
        <f>B27*EXP(B48)</f>
        <v>25443.301376338488</v>
      </c>
      <c r="C30" s="10" t="s">
        <v>40</v>
      </c>
    </row>
    <row r="31" spans="1:3" ht="4" customHeight="1" x14ac:dyDescent="0.2"/>
    <row r="32" spans="1:3" ht="30" customHeight="1" x14ac:dyDescent="0.2">
      <c r="A32" s="11" t="s">
        <v>41</v>
      </c>
      <c r="B32" s="12">
        <f>B29+B30</f>
        <v>38949.824692328722</v>
      </c>
      <c r="C32" s="13" t="s">
        <v>42</v>
      </c>
    </row>
    <row r="33" spans="1:3" ht="16" customHeight="1" x14ac:dyDescent="0.2">
      <c r="A33" s="32" t="s">
        <v>43</v>
      </c>
      <c r="B33" s="33"/>
      <c r="C33" s="33"/>
    </row>
    <row r="34" spans="1:3" ht="26" customHeight="1" x14ac:dyDescent="0.2">
      <c r="A34" s="14" t="s">
        <v>44</v>
      </c>
      <c r="B34" s="15">
        <f>B29*(1-0.21)</f>
        <v>10670.153419632285</v>
      </c>
      <c r="C34" s="15">
        <f>B29*(1+0.21)</f>
        <v>16342.893212348181</v>
      </c>
    </row>
    <row r="35" spans="1:3" ht="26" customHeight="1" x14ac:dyDescent="0.2">
      <c r="A35" s="14" t="s">
        <v>45</v>
      </c>
      <c r="B35" s="15">
        <f>B30*(1-0.258)</f>
        <v>18878.929621243158</v>
      </c>
      <c r="C35" s="15">
        <f>B30*(1+0.258)</f>
        <v>32007.673131433818</v>
      </c>
    </row>
    <row r="36" spans="1:3" ht="6" customHeight="1" x14ac:dyDescent="0.2"/>
    <row r="37" spans="1:3" ht="24" customHeight="1" x14ac:dyDescent="0.2">
      <c r="A37" s="8" t="s">
        <v>46</v>
      </c>
      <c r="B37" s="16">
        <f>(B29-B26)/B26</f>
        <v>-0.34908321368721767</v>
      </c>
      <c r="C37" s="10" t="s">
        <v>47</v>
      </c>
    </row>
    <row r="38" spans="1:3" ht="24" customHeight="1" x14ac:dyDescent="0.2">
      <c r="A38" s="8" t="s">
        <v>48</v>
      </c>
      <c r="B38" s="16">
        <f>(B30-B27)/B27</f>
        <v>8.7320571638396918E-2</v>
      </c>
      <c r="C38" s="10" t="s">
        <v>47</v>
      </c>
    </row>
    <row r="39" spans="1:3" ht="10" customHeight="1" x14ac:dyDescent="0.2"/>
    <row r="40" spans="1:3" ht="18" customHeight="1" x14ac:dyDescent="0.2">
      <c r="A40" s="34" t="s">
        <v>104</v>
      </c>
      <c r="B40" s="35"/>
      <c r="C40" s="35"/>
    </row>
    <row r="41" spans="1:3" ht="18" customHeight="1" x14ac:dyDescent="0.2">
      <c r="A41" s="35"/>
      <c r="B41" s="35"/>
      <c r="C41" s="35"/>
    </row>
    <row r="42" spans="1:3" ht="18" customHeight="1" x14ac:dyDescent="0.2">
      <c r="A42" s="35"/>
      <c r="B42" s="35"/>
      <c r="C42" s="35"/>
    </row>
    <row r="43" spans="1:3" ht="18" customHeight="1" x14ac:dyDescent="0.2">
      <c r="A43" s="35"/>
      <c r="B43" s="35"/>
      <c r="C43" s="35"/>
    </row>
    <row r="44" spans="1:3" ht="18" customHeight="1" x14ac:dyDescent="0.2">
      <c r="A44" s="35"/>
      <c r="B44" s="35"/>
      <c r="C44" s="35"/>
    </row>
    <row r="45" spans="1:3" ht="16" customHeight="1" x14ac:dyDescent="0.2">
      <c r="A45" s="32" t="s">
        <v>49</v>
      </c>
      <c r="B45" s="33"/>
      <c r="C45" s="33"/>
    </row>
    <row r="46" spans="1:3" ht="16" customHeight="1" x14ac:dyDescent="0.2">
      <c r="A46" s="17" t="s">
        <v>50</v>
      </c>
      <c r="B46" s="18"/>
      <c r="C46" s="18"/>
    </row>
    <row r="47" spans="1:3" x14ac:dyDescent="0.2">
      <c r="A47" s="19" t="s">
        <v>51</v>
      </c>
      <c r="B47" s="20">
        <f>Koeffizienten!B3+LN(B26)*Koeffizienten!B4+IF(B7="Aargau",1,0)*Koeffizienten!B5+IF(B7="Aargau",1,0)*LN(B26)*Koeffizienten!B6+INDEX(Koeffizienten!B$31:B$39,MATCH(B9,Koeffizienten!A$31:A$39,0))+IF(B10="Ja",1,0)*Koeffizienten!B9+IF(B11="Ja",1,0)*Koeffizienten!B10+LN(MAX(1,B12))*Koeffizienten!B7+LN(MAX(1,B13))*Koeffizienten!B8+IF(B15="Ja",1,0)*Koeffizienten!B19+IF(B16="Ja",1,0)*Koeffizienten!B20+IF(B17="Ja",1,0)*Koeffizienten!B21+IF(B18="Ja",1,0)*Koeffizienten!B22+IF(B19="Ja",1,0)*Koeffizienten!B23+IF(B20="Ja",1,0)*Koeffizienten!B24+IF(B21="Ja",1,0)*Koeffizienten!B25</f>
        <v>-0.42937346934813159</v>
      </c>
      <c r="C47" s="18"/>
    </row>
    <row r="48" spans="1:3" x14ac:dyDescent="0.2">
      <c r="A48" s="19" t="s">
        <v>52</v>
      </c>
      <c r="B48" s="20">
        <f>Koeffizienten!C3+LN(B27)*Koeffizienten!C4+IF(B7="Aargau",1,0)*Koeffizienten!C5+IF(B7="Aargau",1,0)*LN(B27)*Koeffizienten!C6+INDEX(Koeffizienten!C$31:C$39,MATCH(B9,Koeffizienten!A$31:A$39,0))+IF(B10="Ja",1,0)*Koeffizienten!C9+IF(B11="Ja",1,0)*Koeffizienten!C10+LN(MAX(1,B12))*Koeffizienten!C7+LN(MAX(1,B13))*Koeffizienten!C8+IF(B15="Ja",1,0)*Koeffizienten!C19+IF(B16="Ja",1,0)*Koeffizienten!C20+IF(B17="Ja",1,0)*Koeffizienten!C21+IF(B18="Ja",1,0)*Koeffizienten!C22+IF(B19="Ja",1,0)*Koeffizienten!C23+IF(B20="Ja",1,0)*Koeffizienten!C24+IF(B21="Ja",1,0)*Koeffizienten!C25+B23*Koeffizienten!C26</f>
        <v>8.3716478771214881E-2</v>
      </c>
      <c r="C48" s="18"/>
    </row>
  </sheetData>
  <mergeCells count="8">
    <mergeCell ref="A3:C3"/>
    <mergeCell ref="A4:C4"/>
    <mergeCell ref="A2:C2"/>
    <mergeCell ref="A25:C25"/>
    <mergeCell ref="A33:C33"/>
    <mergeCell ref="A5:C5"/>
    <mergeCell ref="A45:C45"/>
    <mergeCell ref="A40:C44"/>
  </mergeCells>
  <dataValidations count="6">
    <dataValidation type="list" showInputMessage="1" showErrorMessage="1" error="Bitte Zürich oder Aargau wählen." prompt="Kanton wählen" sqref="B7" xr:uid="{00000000-0002-0000-0000-000000000000}">
      <formula1>"Zürich,Aargau"</formula1>
    </dataValidation>
    <dataValidation type="list" showInputMessage="1" showErrorMessage="1" error="Bitte ein Rechtsgebiet aus der Liste auswählen." prompt="Rechtsgebiet wählen" sqref="B9" xr:uid="{00000000-0002-0000-0000-000001000000}">
      <formula1>"Forderung Dienstleistungen,Forderung Bau,Forderung Handel,Forderung Finanz/Versicherung,Haftung Gesellschaftsorgane,UWG/URG,Immaterialgüterrecht,Gesellschaftsrecht,Übrige"</formula1>
    </dataValidation>
    <dataValidation type="list" showInputMessage="1" showErrorMessage="1" error="Bitte Ja oder Nein auswählen." prompt="Ja oder Nein wählen" sqref="B10 B11 B15 B16 B17 B18 B19 B20 B21" xr:uid="{00000000-0002-0000-0000-000002000000}">
      <formula1>"Ja,Nein"</formula1>
    </dataValidation>
    <dataValidation type="whole" operator="greaterThanOrEqual" showInputMessage="1" showErrorMessage="1" error="Mindestens 1." prompt="Ganze Zahl eingeben (mindestens 1)" sqref="B12 B13" xr:uid="{00000000-0002-0000-0000-000003000000}">
      <formula1>1</formula1>
    </dataValidation>
    <dataValidation type="decimal" showInputMessage="1" showErrorMessage="1" error="Wert muss zwischen 0 und 1 liegen." prompt="0 = Kläger obsiegt vollständig, 1 = Kläger unterliegt vollständig" sqref="B23" xr:uid="{00000000-0002-0000-0000-000004000000}">
      <formula1>0</formula1>
      <formula2>1</formula2>
    </dataValidation>
    <dataValidation type="whole" operator="greaterThanOrEqual" showInputMessage="1" showErrorMessage="1" error="Bitte positiven Streitwert eingeben." prompt="Streitwert in CHF (ganze Zahl)" sqref="B8" xr:uid="{00000000-0002-0000-0000-000005000000}">
      <formula1>1</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3574A7"/>
  </sheetPr>
  <dimension ref="A1:I33"/>
  <sheetViews>
    <sheetView showGridLines="0" workbookViewId="0">
      <selection sqref="A1:D1"/>
    </sheetView>
  </sheetViews>
  <sheetFormatPr baseColWidth="10" defaultColWidth="8.83203125" defaultRowHeight="15" x14ac:dyDescent="0.2"/>
  <cols>
    <col min="1" max="2" width="18" customWidth="1"/>
    <col min="3" max="3" width="14" customWidth="1"/>
    <col min="4" max="4" width="10" customWidth="1"/>
    <col min="5" max="5" width="4" customWidth="1"/>
    <col min="6" max="7" width="18" customWidth="1"/>
    <col min="8" max="8" width="14" customWidth="1"/>
    <col min="9" max="9" width="10" customWidth="1"/>
  </cols>
  <sheetData>
    <row r="1" spans="1:9" ht="22" customHeight="1" x14ac:dyDescent="0.2">
      <c r="A1" s="39" t="s">
        <v>53</v>
      </c>
      <c r="B1" s="31"/>
      <c r="C1" s="31"/>
      <c r="D1" s="31"/>
      <c r="F1" s="39" t="s">
        <v>54</v>
      </c>
      <c r="G1" s="31"/>
      <c r="H1" s="31"/>
      <c r="I1" s="31"/>
    </row>
    <row r="2" spans="1:9" ht="20" customHeight="1" x14ac:dyDescent="0.2">
      <c r="A2" s="21" t="s">
        <v>55</v>
      </c>
      <c r="B2" s="21" t="s">
        <v>56</v>
      </c>
      <c r="C2" s="21" t="s">
        <v>57</v>
      </c>
      <c r="D2" s="21" t="s">
        <v>58</v>
      </c>
      <c r="F2" s="21" t="s">
        <v>55</v>
      </c>
      <c r="G2" s="21" t="s">
        <v>56</v>
      </c>
      <c r="H2" s="21" t="s">
        <v>57</v>
      </c>
      <c r="I2" s="21" t="s">
        <v>58</v>
      </c>
    </row>
    <row r="3" spans="1:9" ht="18" customHeight="1" x14ac:dyDescent="0.2">
      <c r="A3" s="22">
        <v>0</v>
      </c>
      <c r="B3" s="22">
        <v>1000</v>
      </c>
      <c r="C3" s="22">
        <v>0</v>
      </c>
      <c r="D3" s="23">
        <v>0.25</v>
      </c>
      <c r="F3" s="22">
        <v>0</v>
      </c>
      <c r="G3" s="22">
        <v>5000</v>
      </c>
      <c r="H3" s="22">
        <v>0</v>
      </c>
      <c r="I3" s="23">
        <v>0.25</v>
      </c>
    </row>
    <row r="4" spans="1:9" ht="18" customHeight="1" x14ac:dyDescent="0.2">
      <c r="A4" s="24">
        <v>1000</v>
      </c>
      <c r="B4" s="24">
        <v>5000</v>
      </c>
      <c r="C4" s="24">
        <v>250</v>
      </c>
      <c r="D4" s="25">
        <v>0.2</v>
      </c>
      <c r="F4" s="24">
        <v>5000</v>
      </c>
      <c r="G4" s="24">
        <v>10000</v>
      </c>
      <c r="H4" s="24">
        <v>1250</v>
      </c>
      <c r="I4" s="25">
        <v>0.23</v>
      </c>
    </row>
    <row r="5" spans="1:9" ht="18" customHeight="1" x14ac:dyDescent="0.2">
      <c r="A5" s="22">
        <v>5000</v>
      </c>
      <c r="B5" s="22">
        <v>20000</v>
      </c>
      <c r="C5" s="22">
        <v>1050</v>
      </c>
      <c r="D5" s="23">
        <v>0.14000000000000001</v>
      </c>
      <c r="F5" s="22">
        <v>10000</v>
      </c>
      <c r="G5" s="22">
        <v>20000</v>
      </c>
      <c r="H5" s="22">
        <v>2400</v>
      </c>
      <c r="I5" s="23">
        <v>0.15</v>
      </c>
    </row>
    <row r="6" spans="1:9" ht="18" customHeight="1" x14ac:dyDescent="0.2">
      <c r="A6" s="24">
        <v>20000</v>
      </c>
      <c r="B6" s="24">
        <v>80000</v>
      </c>
      <c r="C6" s="24">
        <v>3150</v>
      </c>
      <c r="D6" s="25">
        <v>0.08</v>
      </c>
      <c r="F6" s="24">
        <v>20000</v>
      </c>
      <c r="G6" s="24">
        <v>40000</v>
      </c>
      <c r="H6" s="24">
        <v>3900</v>
      </c>
      <c r="I6" s="25">
        <v>0.11</v>
      </c>
    </row>
    <row r="7" spans="1:9" ht="18" customHeight="1" x14ac:dyDescent="0.2">
      <c r="A7" s="22">
        <v>80000</v>
      </c>
      <c r="B7" s="22">
        <v>300000</v>
      </c>
      <c r="C7" s="22">
        <v>7950</v>
      </c>
      <c r="D7" s="23">
        <v>0.04</v>
      </c>
      <c r="F7" s="22">
        <v>40000</v>
      </c>
      <c r="G7" s="22">
        <v>80000</v>
      </c>
      <c r="H7" s="22">
        <v>6100</v>
      </c>
      <c r="I7" s="23">
        <v>0.09</v>
      </c>
    </row>
    <row r="8" spans="1:9" ht="18" customHeight="1" x14ac:dyDescent="0.2">
      <c r="A8" s="24">
        <v>300000</v>
      </c>
      <c r="B8" s="24">
        <v>1000000</v>
      </c>
      <c r="C8" s="24">
        <v>16750</v>
      </c>
      <c r="D8" s="25">
        <v>0.02</v>
      </c>
      <c r="F8" s="24">
        <v>80000</v>
      </c>
      <c r="G8" s="24">
        <v>160000</v>
      </c>
      <c r="H8" s="24">
        <v>9700</v>
      </c>
      <c r="I8" s="25">
        <v>0.06</v>
      </c>
    </row>
    <row r="9" spans="1:9" ht="18" customHeight="1" x14ac:dyDescent="0.2">
      <c r="A9" s="22">
        <v>1000000</v>
      </c>
      <c r="B9" s="22">
        <v>10000000</v>
      </c>
      <c r="C9" s="22">
        <v>30750</v>
      </c>
      <c r="D9" s="23">
        <v>0.01</v>
      </c>
      <c r="F9" s="22">
        <v>160000</v>
      </c>
      <c r="G9" s="22">
        <v>300000</v>
      </c>
      <c r="H9" s="22">
        <v>14500</v>
      </c>
      <c r="I9" s="23">
        <v>3.5000000000000003E-2</v>
      </c>
    </row>
    <row r="10" spans="1:9" ht="18" customHeight="1" x14ac:dyDescent="0.2">
      <c r="A10" s="24">
        <v>10000000</v>
      </c>
      <c r="B10" s="24">
        <v>9999999999</v>
      </c>
      <c r="C10" s="24">
        <v>120750</v>
      </c>
      <c r="D10" s="25">
        <v>5.0000000000000001E-3</v>
      </c>
      <c r="F10" s="24">
        <v>300000</v>
      </c>
      <c r="G10" s="24">
        <v>600000</v>
      </c>
      <c r="H10" s="24">
        <v>19400</v>
      </c>
      <c r="I10" s="25">
        <v>0.02</v>
      </c>
    </row>
    <row r="11" spans="1:9" ht="18" customHeight="1" x14ac:dyDescent="0.2">
      <c r="F11" s="22">
        <v>600000</v>
      </c>
      <c r="G11" s="22">
        <v>1000000</v>
      </c>
      <c r="H11" s="22">
        <v>25400</v>
      </c>
      <c r="I11" s="23">
        <v>1.4999999999999999E-2</v>
      </c>
    </row>
    <row r="12" spans="1:9" ht="18" customHeight="1" x14ac:dyDescent="0.2">
      <c r="F12" s="24">
        <v>1000000</v>
      </c>
      <c r="G12" s="24">
        <v>4000000</v>
      </c>
      <c r="H12" s="24">
        <v>31400</v>
      </c>
      <c r="I12" s="25">
        <v>0.01</v>
      </c>
    </row>
    <row r="13" spans="1:9" ht="18" customHeight="1" x14ac:dyDescent="0.2">
      <c r="F13" s="22">
        <v>4000000</v>
      </c>
      <c r="G13" s="22">
        <v>10000000</v>
      </c>
      <c r="H13" s="22">
        <v>61400</v>
      </c>
      <c r="I13" s="23">
        <v>7.4999999999999997E-3</v>
      </c>
    </row>
    <row r="14" spans="1:9" ht="18" customHeight="1" x14ac:dyDescent="0.2">
      <c r="F14" s="24">
        <v>10000000</v>
      </c>
      <c r="G14" s="24">
        <v>9999999999</v>
      </c>
      <c r="H14" s="24">
        <v>106400</v>
      </c>
      <c r="I14" s="25">
        <v>5.0000000000000001E-3</v>
      </c>
    </row>
    <row r="17" spans="1:9" ht="22" customHeight="1" x14ac:dyDescent="0.2">
      <c r="A17" s="39" t="s">
        <v>59</v>
      </c>
      <c r="B17" s="31"/>
      <c r="C17" s="31"/>
      <c r="D17" s="31"/>
      <c r="F17" s="39" t="s">
        <v>60</v>
      </c>
      <c r="G17" s="31"/>
      <c r="H17" s="31"/>
      <c r="I17" s="31"/>
    </row>
    <row r="18" spans="1:9" ht="20" customHeight="1" x14ac:dyDescent="0.2">
      <c r="A18" s="21" t="s">
        <v>55</v>
      </c>
      <c r="B18" s="21" t="s">
        <v>56</v>
      </c>
      <c r="C18" s="21" t="s">
        <v>57</v>
      </c>
      <c r="D18" s="21" t="s">
        <v>58</v>
      </c>
      <c r="F18" s="21" t="s">
        <v>55</v>
      </c>
      <c r="G18" s="21" t="s">
        <v>56</v>
      </c>
      <c r="H18" s="21" t="s">
        <v>57</v>
      </c>
      <c r="I18" s="21" t="s">
        <v>58</v>
      </c>
    </row>
    <row r="19" spans="1:9" ht="18" customHeight="1" x14ac:dyDescent="0.2">
      <c r="A19" s="22">
        <v>0</v>
      </c>
      <c r="B19" s="22">
        <v>6500</v>
      </c>
      <c r="C19" s="22">
        <v>900</v>
      </c>
      <c r="D19" s="23">
        <v>0.11</v>
      </c>
      <c r="F19" s="22">
        <v>0</v>
      </c>
      <c r="G19" s="22">
        <v>6160</v>
      </c>
      <c r="H19" s="22">
        <v>1110</v>
      </c>
      <c r="I19" s="23">
        <v>0.22</v>
      </c>
    </row>
    <row r="20" spans="1:9" ht="18" customHeight="1" x14ac:dyDescent="0.2">
      <c r="A20" s="24">
        <v>6501</v>
      </c>
      <c r="B20" s="24">
        <v>13000</v>
      </c>
      <c r="C20" s="24">
        <v>1160</v>
      </c>
      <c r="D20" s="25">
        <v>7.0000000000000007E-2</v>
      </c>
      <c r="F20" s="24">
        <v>6161</v>
      </c>
      <c r="G20" s="24">
        <v>12300</v>
      </c>
      <c r="H20" s="24">
        <v>1230</v>
      </c>
      <c r="I20" s="25">
        <v>0.2</v>
      </c>
    </row>
    <row r="21" spans="1:9" ht="18" customHeight="1" x14ac:dyDescent="0.2">
      <c r="A21" s="22">
        <v>13001</v>
      </c>
      <c r="B21" s="22">
        <v>52000</v>
      </c>
      <c r="C21" s="22">
        <v>1290</v>
      </c>
      <c r="D21" s="23">
        <v>0.06</v>
      </c>
      <c r="F21" s="22">
        <v>12301</v>
      </c>
      <c r="G21" s="22">
        <v>24600</v>
      </c>
      <c r="H21" s="22">
        <v>1850</v>
      </c>
      <c r="I21" s="23">
        <v>0.15</v>
      </c>
    </row>
    <row r="22" spans="1:9" ht="18" customHeight="1" x14ac:dyDescent="0.2">
      <c r="A22" s="24">
        <v>52001</v>
      </c>
      <c r="B22" s="24">
        <v>100000</v>
      </c>
      <c r="C22" s="24">
        <v>770</v>
      </c>
      <c r="D22" s="25">
        <v>7.0000000000000007E-2</v>
      </c>
      <c r="F22" s="24">
        <v>24601</v>
      </c>
      <c r="G22" s="24">
        <v>49300</v>
      </c>
      <c r="H22" s="24">
        <v>2590</v>
      </c>
      <c r="I22" s="25">
        <v>0.12</v>
      </c>
    </row>
    <row r="23" spans="1:9" ht="18" customHeight="1" x14ac:dyDescent="0.2">
      <c r="A23" s="22">
        <v>100001</v>
      </c>
      <c r="B23" s="22">
        <v>200000</v>
      </c>
      <c r="C23" s="22">
        <v>4270</v>
      </c>
      <c r="D23" s="23">
        <v>3.5000000000000003E-2</v>
      </c>
      <c r="F23" s="22">
        <v>49301</v>
      </c>
      <c r="G23" s="22">
        <v>98600</v>
      </c>
      <c r="H23" s="22">
        <v>4070</v>
      </c>
      <c r="I23" s="23">
        <v>0.09</v>
      </c>
    </row>
    <row r="24" spans="1:9" ht="18" customHeight="1" x14ac:dyDescent="0.2">
      <c r="A24" s="24">
        <v>200001</v>
      </c>
      <c r="B24" s="24">
        <v>400000</v>
      </c>
      <c r="C24" s="24">
        <v>6870</v>
      </c>
      <c r="D24" s="25">
        <v>2.1999999999999999E-2</v>
      </c>
      <c r="F24" s="24">
        <v>98601</v>
      </c>
      <c r="G24" s="24">
        <v>184800</v>
      </c>
      <c r="H24" s="24">
        <v>6530</v>
      </c>
      <c r="I24" s="25">
        <v>6.4000000000000001E-2</v>
      </c>
    </row>
    <row r="25" spans="1:9" ht="18" customHeight="1" x14ac:dyDescent="0.2">
      <c r="A25" s="22">
        <v>400001</v>
      </c>
      <c r="B25" s="22">
        <v>800000</v>
      </c>
      <c r="C25" s="22">
        <v>9670</v>
      </c>
      <c r="D25" s="23">
        <v>1.4999999999999999E-2</v>
      </c>
      <c r="F25" s="22">
        <v>184801</v>
      </c>
      <c r="G25" s="22">
        <v>369600</v>
      </c>
      <c r="H25" s="22">
        <v>10230</v>
      </c>
      <c r="I25" s="23">
        <v>4.3999999999999997E-2</v>
      </c>
    </row>
    <row r="26" spans="1:9" ht="18" customHeight="1" x14ac:dyDescent="0.2">
      <c r="A26" s="24">
        <v>800001</v>
      </c>
      <c r="B26" s="24">
        <v>1600000</v>
      </c>
      <c r="C26" s="24">
        <v>13670</v>
      </c>
      <c r="D26" s="25">
        <v>0.01</v>
      </c>
      <c r="F26" s="24">
        <v>369601</v>
      </c>
      <c r="G26" s="24">
        <v>739200</v>
      </c>
      <c r="H26" s="24">
        <v>14300</v>
      </c>
      <c r="I26" s="25">
        <v>3.3000000000000002E-2</v>
      </c>
    </row>
    <row r="27" spans="1:9" ht="18" customHeight="1" x14ac:dyDescent="0.2">
      <c r="A27" s="22">
        <v>1600001</v>
      </c>
      <c r="B27" s="22">
        <v>3300000</v>
      </c>
      <c r="C27" s="22">
        <v>21670</v>
      </c>
      <c r="D27" s="23">
        <v>5.0000000000000001E-3</v>
      </c>
      <c r="F27" s="22">
        <v>739201</v>
      </c>
      <c r="G27" s="22">
        <v>1478400</v>
      </c>
      <c r="H27" s="22">
        <v>20240</v>
      </c>
      <c r="I27" s="23">
        <v>2.5000000000000001E-2</v>
      </c>
    </row>
    <row r="28" spans="1:9" ht="18" customHeight="1" x14ac:dyDescent="0.2">
      <c r="A28" s="24">
        <v>3300001</v>
      </c>
      <c r="B28" s="24">
        <v>9999999999</v>
      </c>
      <c r="C28" s="24">
        <v>28270</v>
      </c>
      <c r="D28" s="25">
        <v>3.0000000000000001E-3</v>
      </c>
      <c r="F28" s="24">
        <v>1478401</v>
      </c>
      <c r="G28" s="24">
        <v>3080000</v>
      </c>
      <c r="H28" s="24">
        <v>29040</v>
      </c>
      <c r="I28" s="25">
        <v>1.9E-2</v>
      </c>
    </row>
    <row r="29" spans="1:9" ht="18" customHeight="1" x14ac:dyDescent="0.2">
      <c r="F29" s="22">
        <v>3080001</v>
      </c>
      <c r="G29" s="22">
        <v>6160000</v>
      </c>
      <c r="H29" s="22">
        <v>44440</v>
      </c>
      <c r="I29" s="23">
        <v>1.4E-2</v>
      </c>
    </row>
    <row r="30" spans="1:9" ht="18" customHeight="1" x14ac:dyDescent="0.2">
      <c r="F30" s="24">
        <v>6160001</v>
      </c>
      <c r="G30" s="24">
        <v>9999999999</v>
      </c>
      <c r="H30" s="24">
        <v>69080</v>
      </c>
      <c r="I30" s="25">
        <v>0.01</v>
      </c>
    </row>
    <row r="32" spans="1:9" x14ac:dyDescent="0.2">
      <c r="A32" s="40" t="s">
        <v>61</v>
      </c>
      <c r="B32" s="33"/>
      <c r="C32" s="33"/>
      <c r="D32" s="33"/>
      <c r="E32" s="33"/>
      <c r="F32" s="33"/>
      <c r="G32" s="33"/>
      <c r="H32" s="33"/>
      <c r="I32" s="33"/>
    </row>
    <row r="33" spans="1:9" x14ac:dyDescent="0.2">
      <c r="A33" s="40" t="s">
        <v>62</v>
      </c>
      <c r="B33" s="33"/>
      <c r="C33" s="33"/>
      <c r="D33" s="33"/>
      <c r="E33" s="33"/>
      <c r="F33" s="33"/>
      <c r="G33" s="33"/>
      <c r="H33" s="33"/>
      <c r="I33" s="33"/>
    </row>
  </sheetData>
  <mergeCells count="6">
    <mergeCell ref="A1:D1"/>
    <mergeCell ref="A17:D17"/>
    <mergeCell ref="A33:I33"/>
    <mergeCell ref="F1:I1"/>
    <mergeCell ref="F17:I17"/>
    <mergeCell ref="A32:I3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548235"/>
  </sheetPr>
  <dimension ref="A1:C42"/>
  <sheetViews>
    <sheetView showGridLines="0" tabSelected="1" workbookViewId="0">
      <selection sqref="A1:C1"/>
    </sheetView>
  </sheetViews>
  <sheetFormatPr baseColWidth="10" defaultColWidth="8.83203125" defaultRowHeight="15" x14ac:dyDescent="0.2"/>
  <cols>
    <col min="1" max="1" width="32" customWidth="1"/>
    <col min="2" max="3" width="16" customWidth="1"/>
  </cols>
  <sheetData>
    <row r="1" spans="1:3" ht="28" customHeight="1" x14ac:dyDescent="0.2">
      <c r="A1" s="41" t="s">
        <v>63</v>
      </c>
      <c r="B1" s="33"/>
      <c r="C1" s="33"/>
    </row>
    <row r="2" spans="1:3" ht="22" customHeight="1" x14ac:dyDescent="0.2">
      <c r="A2" s="21" t="s">
        <v>64</v>
      </c>
      <c r="B2" s="21" t="s">
        <v>65</v>
      </c>
      <c r="C2" s="21" t="s">
        <v>66</v>
      </c>
    </row>
    <row r="3" spans="1:3" ht="18" customHeight="1" x14ac:dyDescent="0.2">
      <c r="A3" s="26" t="s">
        <v>67</v>
      </c>
      <c r="B3" s="27">
        <v>0.92700000000000005</v>
      </c>
      <c r="C3" s="27">
        <v>1.8879999999999999</v>
      </c>
    </row>
    <row r="4" spans="1:3" ht="18" customHeight="1" x14ac:dyDescent="0.2">
      <c r="A4" s="28" t="s">
        <v>68</v>
      </c>
      <c r="B4" s="29">
        <v>-0.111</v>
      </c>
      <c r="C4" s="29">
        <v>-0.17</v>
      </c>
    </row>
    <row r="5" spans="1:3" ht="18" customHeight="1" x14ac:dyDescent="0.2">
      <c r="A5" s="26" t="s">
        <v>69</v>
      </c>
      <c r="B5" s="27">
        <v>-0.51800000000000002</v>
      </c>
      <c r="C5" s="27">
        <v>-3.4140000000000001</v>
      </c>
    </row>
    <row r="6" spans="1:3" ht="18" customHeight="1" x14ac:dyDescent="0.2">
      <c r="A6" s="28" t="s">
        <v>70</v>
      </c>
      <c r="B6" s="29">
        <v>5.7000000000000002E-2</v>
      </c>
      <c r="C6" s="29">
        <v>0.46300000000000002</v>
      </c>
    </row>
    <row r="7" spans="1:3" ht="18" customHeight="1" x14ac:dyDescent="0.2">
      <c r="A7" s="26" t="s">
        <v>71</v>
      </c>
      <c r="B7" s="27">
        <v>5.1999999999999998E-2</v>
      </c>
      <c r="C7" s="27">
        <v>-0.13</v>
      </c>
    </row>
    <row r="8" spans="1:3" ht="18" customHeight="1" x14ac:dyDescent="0.2">
      <c r="A8" s="28" t="s">
        <v>72</v>
      </c>
      <c r="B8" s="29">
        <v>9.1999999999999998E-2</v>
      </c>
      <c r="C8" s="29">
        <v>0.17599999999999999</v>
      </c>
    </row>
    <row r="9" spans="1:3" ht="18" customHeight="1" x14ac:dyDescent="0.2">
      <c r="A9" s="26" t="s">
        <v>73</v>
      </c>
      <c r="B9" s="27">
        <v>-8.5999999999999993E-2</v>
      </c>
      <c r="C9" s="27">
        <v>-0.129</v>
      </c>
    </row>
    <row r="10" spans="1:3" ht="18" customHeight="1" x14ac:dyDescent="0.2">
      <c r="A10" s="28" t="s">
        <v>74</v>
      </c>
      <c r="B10" s="29">
        <v>-7.9000000000000001E-2</v>
      </c>
      <c r="C10" s="29">
        <v>-2.1999999999999999E-2</v>
      </c>
    </row>
    <row r="11" spans="1:3" ht="18" customHeight="1" x14ac:dyDescent="0.2">
      <c r="A11" s="26" t="s">
        <v>75</v>
      </c>
      <c r="B11" s="27">
        <v>3.6999999999999998E-2</v>
      </c>
      <c r="C11" s="27">
        <v>-0.20799999999999999</v>
      </c>
    </row>
    <row r="12" spans="1:3" ht="18" customHeight="1" x14ac:dyDescent="0.2">
      <c r="A12" s="28" t="s">
        <v>76</v>
      </c>
      <c r="B12" s="29">
        <v>7.0000000000000001E-3</v>
      </c>
      <c r="C12" s="29">
        <v>4.0000000000000001E-3</v>
      </c>
    </row>
    <row r="13" spans="1:3" ht="18" customHeight="1" x14ac:dyDescent="0.2">
      <c r="A13" s="26" t="s">
        <v>77</v>
      </c>
      <c r="B13" s="27">
        <v>6.8000000000000005E-2</v>
      </c>
      <c r="C13" s="27">
        <v>-0.12</v>
      </c>
    </row>
    <row r="14" spans="1:3" ht="18" customHeight="1" x14ac:dyDescent="0.2">
      <c r="A14" s="28" t="s">
        <v>78</v>
      </c>
      <c r="B14" s="29">
        <v>-6.0000000000000001E-3</v>
      </c>
      <c r="C14" s="29">
        <v>-6.4000000000000001E-2</v>
      </c>
    </row>
    <row r="15" spans="1:3" ht="18" customHeight="1" x14ac:dyDescent="0.2">
      <c r="A15" s="26" t="s">
        <v>79</v>
      </c>
      <c r="B15" s="27">
        <v>0.59199999999999997</v>
      </c>
      <c r="C15" s="27">
        <v>1.0580000000000001</v>
      </c>
    </row>
    <row r="16" spans="1:3" ht="18" customHeight="1" x14ac:dyDescent="0.2">
      <c r="A16" s="28" t="s">
        <v>80</v>
      </c>
      <c r="B16" s="29">
        <v>6.9000000000000006E-2</v>
      </c>
      <c r="C16" s="29">
        <v>-7.9000000000000001E-2</v>
      </c>
    </row>
    <row r="17" spans="1:3" ht="18" customHeight="1" x14ac:dyDescent="0.2">
      <c r="A17" s="26" t="s">
        <v>81</v>
      </c>
      <c r="B17" s="27">
        <v>-0.22700000000000001</v>
      </c>
      <c r="C17" s="27">
        <v>-4.4999999999999998E-2</v>
      </c>
    </row>
    <row r="18" spans="1:3" ht="18" customHeight="1" x14ac:dyDescent="0.2">
      <c r="A18" s="28" t="s">
        <v>82</v>
      </c>
      <c r="B18" s="29">
        <v>2.9000000000000001E-2</v>
      </c>
      <c r="C18" s="29">
        <v>-0.159</v>
      </c>
    </row>
    <row r="19" spans="1:3" ht="18" customHeight="1" x14ac:dyDescent="0.2">
      <c r="A19" s="26" t="s">
        <v>83</v>
      </c>
      <c r="B19" s="27">
        <v>-8.7999999999999995E-2</v>
      </c>
      <c r="C19" s="27">
        <v>-4.0000000000000001E-3</v>
      </c>
    </row>
    <row r="20" spans="1:3" ht="18" customHeight="1" x14ac:dyDescent="0.2">
      <c r="A20" s="28" t="s">
        <v>22</v>
      </c>
      <c r="B20" s="29">
        <v>0.504</v>
      </c>
      <c r="C20" s="29">
        <v>0.31900000000000001</v>
      </c>
    </row>
    <row r="21" spans="1:3" ht="18" customHeight="1" x14ac:dyDescent="0.2">
      <c r="A21" s="26" t="s">
        <v>84</v>
      </c>
      <c r="B21" s="27">
        <v>-0.159</v>
      </c>
      <c r="C21" s="27">
        <v>-0.17299999999999999</v>
      </c>
    </row>
    <row r="22" spans="1:3" ht="18" customHeight="1" x14ac:dyDescent="0.2">
      <c r="A22" s="28" t="s">
        <v>85</v>
      </c>
      <c r="B22" s="29">
        <v>0.39500000000000002</v>
      </c>
      <c r="C22" s="29">
        <v>0.192</v>
      </c>
    </row>
    <row r="23" spans="1:3" ht="18" customHeight="1" x14ac:dyDescent="0.2">
      <c r="A23" s="26" t="s">
        <v>26</v>
      </c>
      <c r="B23" s="27">
        <v>5.0999999999999997E-2</v>
      </c>
      <c r="C23" s="27">
        <v>0.14699999999999999</v>
      </c>
    </row>
    <row r="24" spans="1:3" ht="18" customHeight="1" x14ac:dyDescent="0.2">
      <c r="A24" s="28" t="s">
        <v>27</v>
      </c>
      <c r="B24" s="29">
        <v>0.15</v>
      </c>
      <c r="C24" s="29">
        <v>2.3E-2</v>
      </c>
    </row>
    <row r="25" spans="1:3" ht="18" customHeight="1" x14ac:dyDescent="0.2">
      <c r="A25" s="26" t="s">
        <v>28</v>
      </c>
      <c r="B25" s="27">
        <v>0.123</v>
      </c>
      <c r="C25" s="27">
        <v>-0.31900000000000001</v>
      </c>
    </row>
    <row r="26" spans="1:3" ht="18" customHeight="1" x14ac:dyDescent="0.2">
      <c r="A26" s="28" t="s">
        <v>86</v>
      </c>
      <c r="B26" s="29">
        <v>0</v>
      </c>
      <c r="C26" s="29">
        <v>0.122</v>
      </c>
    </row>
    <row r="28" spans="1:3" ht="10" customHeight="1" x14ac:dyDescent="0.2"/>
    <row r="29" spans="1:3" ht="24" customHeight="1" x14ac:dyDescent="0.2">
      <c r="A29" s="42" t="s">
        <v>87</v>
      </c>
      <c r="B29" s="33"/>
      <c r="C29" s="33"/>
    </row>
    <row r="30" spans="1:3" ht="22" customHeight="1" x14ac:dyDescent="0.2">
      <c r="A30" s="21" t="s">
        <v>9</v>
      </c>
      <c r="B30" s="21" t="s">
        <v>65</v>
      </c>
      <c r="C30" s="21" t="s">
        <v>66</v>
      </c>
    </row>
    <row r="31" spans="1:3" ht="18" customHeight="1" x14ac:dyDescent="0.2">
      <c r="A31" s="26" t="s">
        <v>10</v>
      </c>
      <c r="B31" s="27">
        <v>0</v>
      </c>
      <c r="C31" s="27">
        <v>0</v>
      </c>
    </row>
    <row r="32" spans="1:3" ht="18" customHeight="1" x14ac:dyDescent="0.2">
      <c r="A32" s="28" t="s">
        <v>88</v>
      </c>
      <c r="B32" s="29">
        <v>3.6999999999999998E-2</v>
      </c>
      <c r="C32" s="29">
        <v>-0.20799999999999999</v>
      </c>
    </row>
    <row r="33" spans="1:3" ht="18" customHeight="1" x14ac:dyDescent="0.2">
      <c r="A33" s="26" t="s">
        <v>89</v>
      </c>
      <c r="B33" s="27">
        <v>7.0000000000000001E-3</v>
      </c>
      <c r="C33" s="27">
        <v>4.0000000000000001E-3</v>
      </c>
    </row>
    <row r="34" spans="1:3" ht="18" customHeight="1" x14ac:dyDescent="0.2">
      <c r="A34" s="28" t="s">
        <v>90</v>
      </c>
      <c r="B34" s="29">
        <v>6.8000000000000005E-2</v>
      </c>
      <c r="C34" s="29">
        <v>-0.12</v>
      </c>
    </row>
    <row r="35" spans="1:3" ht="18" customHeight="1" x14ac:dyDescent="0.2">
      <c r="A35" s="26" t="s">
        <v>91</v>
      </c>
      <c r="B35" s="27">
        <v>-6.0000000000000001E-3</v>
      </c>
      <c r="C35" s="27">
        <v>-6.4000000000000001E-2</v>
      </c>
    </row>
    <row r="36" spans="1:3" ht="18" customHeight="1" x14ac:dyDescent="0.2">
      <c r="A36" s="28" t="s">
        <v>92</v>
      </c>
      <c r="B36" s="29">
        <v>0.59199999999999997</v>
      </c>
      <c r="C36" s="29">
        <v>1.0580000000000001</v>
      </c>
    </row>
    <row r="37" spans="1:3" ht="18" customHeight="1" x14ac:dyDescent="0.2">
      <c r="A37" s="26" t="s">
        <v>93</v>
      </c>
      <c r="B37" s="27">
        <v>6.9000000000000006E-2</v>
      </c>
      <c r="C37" s="27">
        <v>-7.9000000000000001E-2</v>
      </c>
    </row>
    <row r="38" spans="1:3" ht="18" customHeight="1" x14ac:dyDescent="0.2">
      <c r="A38" s="28" t="s">
        <v>94</v>
      </c>
      <c r="B38" s="29">
        <v>-0.22700000000000001</v>
      </c>
      <c r="C38" s="29">
        <v>-4.4999999999999998E-2</v>
      </c>
    </row>
    <row r="39" spans="1:3" ht="18" customHeight="1" x14ac:dyDescent="0.2">
      <c r="A39" s="26" t="s">
        <v>95</v>
      </c>
      <c r="B39" s="27">
        <v>2.9000000000000001E-2</v>
      </c>
      <c r="C39" s="27">
        <v>-0.159</v>
      </c>
    </row>
    <row r="42" spans="1:3" x14ac:dyDescent="0.2">
      <c r="A42" s="32" t="s">
        <v>96</v>
      </c>
      <c r="B42" s="33"/>
      <c r="C42" s="33"/>
    </row>
  </sheetData>
  <mergeCells count="3">
    <mergeCell ref="A1:C1"/>
    <mergeCell ref="A42:C42"/>
    <mergeCell ref="A29:C29"/>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Rechner</vt:lpstr>
      <vt:lpstr>Tarif</vt:lpstr>
      <vt:lpstr>Koeffizienten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König, Adrian (STUDENTS)</cp:lastModifiedBy>
  <dcterms:created xsi:type="dcterms:W3CDTF">2026-04-02T13:27:55Z</dcterms:created>
  <dcterms:modified xsi:type="dcterms:W3CDTF">2026-04-02T13:31:21Z</dcterms:modified>
</cp:coreProperties>
</file>